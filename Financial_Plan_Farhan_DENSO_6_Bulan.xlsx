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inancial Farhan Bot\"/>
    </mc:Choice>
  </mc:AlternateContent>
  <xr:revisionPtr revIDLastSave="0" documentId="13_ncr:1_{3F4C10A9-818C-450B-B6B9-687A4D82F4E6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Dashboard" sheetId="1" r:id="rId1"/>
    <sheet name="Catatan Bulanan" sheetId="2" r:id="rId2"/>
    <sheet name="Transaksi" sheetId="3" r:id="rId3"/>
    <sheet name="Pembayaran Utang" sheetId="4" r:id="rId4"/>
    <sheet name="Gaji Pertam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/>
  <c r="E9" i="4"/>
  <c r="E8" i="4"/>
  <c r="E7" i="4"/>
  <c r="E6" i="4"/>
  <c r="I11" i="2"/>
  <c r="I10" i="2"/>
  <c r="I9" i="2"/>
  <c r="I8" i="2"/>
  <c r="I7" i="2"/>
  <c r="I6" i="2"/>
  <c r="E7" i="1"/>
  <c r="E4" i="1"/>
  <c r="E5" i="1" s="1"/>
</calcChain>
</file>

<file path=xl/sharedStrings.xml><?xml version="1.0" encoding="utf-8"?>
<sst xmlns="http://schemas.openxmlformats.org/spreadsheetml/2006/main" count="60" uniqueCount="56">
  <si>
    <t>ID</t>
  </si>
  <si>
    <t>TANGGAL</t>
  </si>
  <si>
    <t>JENIS</t>
  </si>
  <si>
    <t>KATEGORI</t>
  </si>
  <si>
    <t>NOMINAL</t>
  </si>
  <si>
    <t>KETERANGAN</t>
  </si>
  <si>
    <t>Pengeluaran</t>
  </si>
  <si>
    <t>Makan</t>
  </si>
  <si>
    <t>makan siang</t>
  </si>
  <si>
    <t>FINANCIAL PLAN FARHAN – 6 BULAN MAGANG DENSO</t>
  </si>
  <si>
    <t>Target Utama</t>
  </si>
  <si>
    <t>Utang Rp9.170.000 lunas dalam 6 bulan</t>
  </si>
  <si>
    <t>Total Utang</t>
  </si>
  <si>
    <t>Kos / bulan</t>
  </si>
  <si>
    <t>Utang Terbayar</t>
  </si>
  <si>
    <t>Target makan / bulan</t>
  </si>
  <si>
    <t>Sisa Utang</t>
  </si>
  <si>
    <t>Target bensin / bulan</t>
  </si>
  <si>
    <t>Pulsa / internet</t>
  </si>
  <si>
    <t>Total Tabungan</t>
  </si>
  <si>
    <t>Kebutuhan pribadi</t>
  </si>
  <si>
    <t>Bantu / jajan Mamah</t>
  </si>
  <si>
    <t>Target bayar utang / bulan</t>
  </si>
  <si>
    <t>Target tabungan / bulan</t>
  </si>
  <si>
    <t>Buffer / fleksibel</t>
  </si>
  <si>
    <t>Total budget simulasi</t>
  </si>
  <si>
    <t>Bulan</t>
  </si>
  <si>
    <t>Gaji Bersih</t>
  </si>
  <si>
    <t>Living Cost</t>
  </si>
  <si>
    <t>Mamah</t>
  </si>
  <si>
    <t>Bayar Utang</t>
  </si>
  <si>
    <t>Investasi</t>
  </si>
  <si>
    <t>Buffer</t>
  </si>
  <si>
    <t>Tabungan</t>
  </si>
  <si>
    <t>Sisa Gaji</t>
  </si>
  <si>
    <t>Bulan 1</t>
  </si>
  <si>
    <t>Bulan 2</t>
  </si>
  <si>
    <t>Bulan 3</t>
  </si>
  <si>
    <t>Bulan 4</t>
  </si>
  <si>
    <t>Bulan 5</t>
  </si>
  <si>
    <t>Bulan 6</t>
  </si>
  <si>
    <t>Tanggal</t>
  </si>
  <si>
    <t>Penerima</t>
  </si>
  <si>
    <t>Utang Awal</t>
  </si>
  <si>
    <t>Bayar</t>
  </si>
  <si>
    <t>Catatan</t>
  </si>
  <si>
    <t>Kakak 2</t>
  </si>
  <si>
    <t>Kakak 4</t>
  </si>
  <si>
    <t>Kakak 6</t>
  </si>
  <si>
    <t>Gaji bersih yang masuk</t>
  </si>
  <si>
    <t>Kos</t>
  </si>
  <si>
    <t>Living cost</t>
  </si>
  <si>
    <t>Bantu Mamah</t>
  </si>
  <si>
    <t>Bayar utang</t>
  </si>
  <si>
    <t>Foto wisuda</t>
  </si>
  <si>
    <t>Sisa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</si>
</sst>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2" width="35" customWidth="1"/>
    <col min="3" max="3" width="12" customWidth="1"/>
    <col min="4" max="4" width="17" customWidth="1"/>
    <col min="5" max="5" width="34" customWidth="1"/>
    <col min="6" max="6" width="12" customWidth="1"/>
  </cols>
  <sheetData>
    <row r="1" spans="1:6" ht="21" x14ac:dyDescent="0.35">
      <c r="A1" s="6" t="s">
        <v>9</v>
      </c>
      <c r="B1" s="7"/>
      <c r="C1" s="7"/>
      <c r="D1" s="7"/>
      <c r="E1" s="7"/>
      <c r="F1" s="7"/>
    </row>
    <row r="2" spans="1:6" x14ac:dyDescent="0.35">
      <c r="A2" s="1"/>
      <c r="B2" s="1"/>
      <c r="C2" s="1"/>
      <c r="D2" s="1"/>
      <c r="E2" s="1"/>
      <c r="F2" s="1"/>
    </row>
    <row r="3" spans="1:6" x14ac:dyDescent="0.35">
      <c r="A3" s="1" t="s">
        <v>10</v>
      </c>
      <c r="B3" s="1" t="s">
        <v>11</v>
      </c>
      <c r="C3" s="1"/>
      <c r="D3" s="1" t="s">
        <v>12</v>
      </c>
      <c r="E3" s="2">
        <v>9170000</v>
      </c>
      <c r="F3" s="1"/>
    </row>
    <row r="4" spans="1:6" x14ac:dyDescent="0.35">
      <c r="A4" s="1" t="s">
        <v>13</v>
      </c>
      <c r="B4" s="2">
        <v>650000</v>
      </c>
      <c r="C4" s="1"/>
      <c r="D4" s="1" t="s">
        <v>14</v>
      </c>
      <c r="E4" s="2">
        <f>SUM('Pembayaran Utang'!D6:D20)</f>
        <v>0</v>
      </c>
      <c r="F4" s="1"/>
    </row>
    <row r="5" spans="1:6" x14ac:dyDescent="0.35">
      <c r="A5" s="1" t="s">
        <v>15</v>
      </c>
      <c r="B5" s="2">
        <v>1200000</v>
      </c>
      <c r="C5" s="1"/>
      <c r="D5" s="1" t="s">
        <v>16</v>
      </c>
      <c r="E5" s="2">
        <f>MAX(E3-E4,0)</f>
        <v>9170000</v>
      </c>
      <c r="F5" s="1"/>
    </row>
    <row r="6" spans="1:6" x14ac:dyDescent="0.35">
      <c r="A6" s="1" t="s">
        <v>17</v>
      </c>
      <c r="B6" s="2">
        <v>400000</v>
      </c>
      <c r="C6" s="1"/>
      <c r="D6" s="1"/>
      <c r="E6" s="1"/>
      <c r="F6" s="1"/>
    </row>
    <row r="7" spans="1:6" x14ac:dyDescent="0.35">
      <c r="A7" s="1" t="s">
        <v>18</v>
      </c>
      <c r="B7" s="2">
        <v>150000</v>
      </c>
      <c r="C7" s="1"/>
      <c r="D7" s="1" t="s">
        <v>19</v>
      </c>
      <c r="E7" s="2">
        <f>SUM('Catatan Bulanan'!H6:H11)</f>
        <v>0</v>
      </c>
      <c r="F7" s="1"/>
    </row>
    <row r="8" spans="1:6" x14ac:dyDescent="0.35">
      <c r="A8" s="1" t="s">
        <v>20</v>
      </c>
      <c r="B8" s="2">
        <v>300000</v>
      </c>
      <c r="C8" s="1"/>
      <c r="D8" s="1"/>
      <c r="E8" s="1"/>
      <c r="F8" s="1"/>
    </row>
    <row r="9" spans="1:6" x14ac:dyDescent="0.35">
      <c r="A9" s="1" t="s">
        <v>21</v>
      </c>
      <c r="B9" s="2">
        <v>300000</v>
      </c>
      <c r="C9" s="1"/>
      <c r="D9" s="1"/>
      <c r="E9" s="1"/>
      <c r="F9" s="1"/>
    </row>
    <row r="10" spans="1:6" x14ac:dyDescent="0.35">
      <c r="A10" s="1" t="s">
        <v>22</v>
      </c>
      <c r="B10" s="2">
        <v>1700000</v>
      </c>
      <c r="C10" s="1"/>
      <c r="D10" s="1"/>
      <c r="E10" s="1"/>
      <c r="F10" s="1"/>
    </row>
    <row r="11" spans="1:6" x14ac:dyDescent="0.35">
      <c r="A11" s="1" t="s">
        <v>23</v>
      </c>
      <c r="B11" s="2">
        <v>700000</v>
      </c>
      <c r="C11" s="1"/>
      <c r="D11" s="1"/>
      <c r="E11" s="1"/>
      <c r="F11" s="1"/>
    </row>
    <row r="12" spans="1:6" x14ac:dyDescent="0.35">
      <c r="A12" s="1" t="s">
        <v>24</v>
      </c>
      <c r="B12" s="2">
        <v>400000</v>
      </c>
      <c r="C12" s="1"/>
      <c r="D12" s="1"/>
      <c r="E12" s="1"/>
      <c r="F12" s="1"/>
    </row>
    <row r="13" spans="1:6" x14ac:dyDescent="0.35">
      <c r="A13" s="1" t="s">
        <v>25</v>
      </c>
      <c r="B13" s="2">
        <v>5800000</v>
      </c>
      <c r="C13" s="1"/>
      <c r="D13" s="1"/>
      <c r="E13" s="1"/>
      <c r="F13" s="1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3" width="14" customWidth="1"/>
    <col min="4" max="4" width="12" customWidth="1"/>
    <col min="5" max="5" width="14" customWidth="1"/>
    <col min="6" max="8" width="12" customWidth="1"/>
    <col min="9" max="9" width="20" customWidth="1"/>
  </cols>
  <sheetData>
    <row r="1" spans="1:9" x14ac:dyDescent="0.35">
      <c r="A1" s="1"/>
      <c r="B1" s="1"/>
      <c r="C1" s="1"/>
      <c r="D1" s="1"/>
      <c r="E1" s="1"/>
      <c r="F1" s="1"/>
      <c r="G1" s="1"/>
      <c r="H1" s="1"/>
      <c r="I1" s="1"/>
    </row>
    <row r="2" spans="1:9" x14ac:dyDescent="0.35">
      <c r="A2" s="1"/>
      <c r="B2" s="1"/>
      <c r="C2" s="1"/>
      <c r="D2" s="1"/>
      <c r="E2" s="1"/>
      <c r="F2" s="1"/>
      <c r="G2" s="1"/>
      <c r="H2" s="1"/>
      <c r="I2" s="1"/>
    </row>
    <row r="3" spans="1:9" x14ac:dyDescent="0.35">
      <c r="A3" s="1"/>
      <c r="B3" s="1"/>
      <c r="C3" s="1"/>
      <c r="D3" s="1"/>
      <c r="E3" s="1"/>
      <c r="F3" s="1"/>
      <c r="G3" s="1"/>
      <c r="H3" s="1"/>
      <c r="I3" s="1"/>
    </row>
    <row r="4" spans="1:9" x14ac:dyDescent="0.35">
      <c r="A4" s="1"/>
      <c r="B4" s="1"/>
      <c r="C4" s="1"/>
      <c r="D4" s="1"/>
      <c r="E4" s="1"/>
      <c r="F4" s="1"/>
      <c r="G4" s="1"/>
      <c r="H4" s="1"/>
      <c r="I4" s="1"/>
    </row>
    <row r="5" spans="1:9" x14ac:dyDescent="0.3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  <c r="H5" s="3" t="s">
        <v>33</v>
      </c>
      <c r="I5" s="3" t="s">
        <v>34</v>
      </c>
    </row>
    <row r="6" spans="1:9" x14ac:dyDescent="0.35">
      <c r="A6" s="1" t="s">
        <v>35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f t="shared" ref="I6:I11" si="0">B6-SUM(C6:H6)</f>
        <v>0</v>
      </c>
    </row>
    <row r="7" spans="1:9" x14ac:dyDescent="0.35">
      <c r="A7" s="1" t="s">
        <v>36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f t="shared" si="0"/>
        <v>0</v>
      </c>
    </row>
    <row r="8" spans="1:9" x14ac:dyDescent="0.35">
      <c r="A8" s="1" t="s">
        <v>37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f t="shared" si="0"/>
        <v>0</v>
      </c>
    </row>
    <row r="9" spans="1:9" x14ac:dyDescent="0.35">
      <c r="A9" s="1" t="s">
        <v>38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f t="shared" si="0"/>
        <v>0</v>
      </c>
    </row>
    <row r="10" spans="1:9" x14ac:dyDescent="0.35">
      <c r="A10" s="1" t="s">
        <v>39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f t="shared" si="0"/>
        <v>0</v>
      </c>
    </row>
    <row r="11" spans="1:9" x14ac:dyDescent="0.35">
      <c r="A11" s="1" t="s">
        <v>40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f t="shared" si="0"/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H2" sqref="H2"/>
    </sheetView>
  </sheetViews>
  <sheetFormatPr defaultRowHeight="14.5" x14ac:dyDescent="0.35"/>
  <cols>
    <col min="2" max="2" width="24.1796875" customWidth="1"/>
    <col min="3" max="3" width="16.6328125" customWidth="1"/>
    <col min="4" max="4" width="12.453125" customWidth="1"/>
    <col min="5" max="5" width="17.81640625" customWidth="1"/>
    <col min="6" max="6" width="26" customWidth="1"/>
  </cols>
  <sheetData>
    <row r="1" spans="1: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5">
      <c r="A2">
        <v>1</v>
      </c>
      <c r="B2" s="5">
        <v>46262.571321317708</v>
      </c>
      <c r="C2" t="s">
        <v>6</v>
      </c>
      <c r="D2" t="s">
        <v>7</v>
      </c>
      <c r="E2">
        <v>20000</v>
      </c>
      <c r="F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2" width="12" customWidth="1"/>
    <col min="3" max="3" width="13" customWidth="1"/>
    <col min="4" max="4" width="12" customWidth="1"/>
    <col min="5" max="5" width="16" customWidth="1"/>
    <col min="6" max="6" width="12" customWidth="1"/>
  </cols>
  <sheetData>
    <row r="1" spans="1:6" x14ac:dyDescent="0.35">
      <c r="A1" s="1"/>
      <c r="B1" s="1"/>
      <c r="C1" s="1"/>
      <c r="D1" s="1"/>
      <c r="E1" s="1"/>
      <c r="F1" s="1"/>
    </row>
    <row r="2" spans="1:6" x14ac:dyDescent="0.35">
      <c r="A2" s="1"/>
      <c r="B2" s="1"/>
      <c r="C2" s="1"/>
      <c r="D2" s="1"/>
      <c r="E2" s="1"/>
      <c r="F2" s="1"/>
    </row>
    <row r="3" spans="1:6" x14ac:dyDescent="0.35">
      <c r="A3" s="1"/>
      <c r="B3" s="1"/>
      <c r="C3" s="1"/>
      <c r="D3" s="1"/>
      <c r="E3" s="1"/>
      <c r="F3" s="1"/>
    </row>
    <row r="4" spans="1:6" x14ac:dyDescent="0.35">
      <c r="A4" s="1"/>
      <c r="B4" s="1"/>
      <c r="C4" s="1"/>
      <c r="D4" s="1"/>
      <c r="E4" s="1"/>
      <c r="F4" s="1"/>
    </row>
    <row r="5" spans="1:6" x14ac:dyDescent="0.35">
      <c r="A5" s="3" t="s">
        <v>41</v>
      </c>
      <c r="B5" s="3" t="s">
        <v>42</v>
      </c>
      <c r="C5" s="3" t="s">
        <v>43</v>
      </c>
      <c r="D5" s="3" t="s">
        <v>44</v>
      </c>
      <c r="E5" s="3" t="s">
        <v>16</v>
      </c>
      <c r="F5" s="3" t="s">
        <v>45</v>
      </c>
    </row>
    <row r="6" spans="1:6" x14ac:dyDescent="0.35">
      <c r="A6" s="1"/>
      <c r="B6" s="1" t="s">
        <v>29</v>
      </c>
      <c r="C6" s="2">
        <v>6300000</v>
      </c>
      <c r="D6" s="2">
        <v>0</v>
      </c>
      <c r="E6" s="2">
        <f>MAX(C6-D6,0)</f>
        <v>6300000</v>
      </c>
      <c r="F6" s="1"/>
    </row>
    <row r="7" spans="1:6" x14ac:dyDescent="0.35">
      <c r="A7" s="1"/>
      <c r="B7" s="1" t="s">
        <v>46</v>
      </c>
      <c r="C7" s="2">
        <v>500000</v>
      </c>
      <c r="D7" s="2">
        <v>0</v>
      </c>
      <c r="E7" s="2">
        <f>MAX(C7-D7,0)</f>
        <v>500000</v>
      </c>
      <c r="F7" s="1"/>
    </row>
    <row r="8" spans="1:6" x14ac:dyDescent="0.35">
      <c r="A8" s="1"/>
      <c r="B8" s="1" t="s">
        <v>47</v>
      </c>
      <c r="C8" s="2">
        <v>570000</v>
      </c>
      <c r="D8" s="2">
        <v>0</v>
      </c>
      <c r="E8" s="2">
        <f>MAX(C8-D8,0)</f>
        <v>570000</v>
      </c>
      <c r="F8" s="1"/>
    </row>
    <row r="9" spans="1:6" x14ac:dyDescent="0.35">
      <c r="A9" s="1"/>
      <c r="B9" s="1" t="s">
        <v>48</v>
      </c>
      <c r="C9" s="2">
        <v>1800000</v>
      </c>
      <c r="D9" s="2">
        <v>0</v>
      </c>
      <c r="E9" s="2">
        <f>MAX(C9-D9,0)</f>
        <v>1800000</v>
      </c>
      <c r="F9" s="1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5" customWidth="1"/>
    <col min="2" max="2" width="18" customWidth="1"/>
  </cols>
  <sheetData>
    <row r="1" spans="1:2" x14ac:dyDescent="0.35">
      <c r="A1" s="1"/>
      <c r="B1" s="1"/>
    </row>
    <row r="2" spans="1:2" x14ac:dyDescent="0.35">
      <c r="A2" s="1"/>
      <c r="B2" s="1"/>
    </row>
    <row r="3" spans="1:2" x14ac:dyDescent="0.35">
      <c r="A3" s="1" t="s">
        <v>49</v>
      </c>
      <c r="B3" s="2">
        <v>0</v>
      </c>
    </row>
    <row r="4" spans="1:2" x14ac:dyDescent="0.35">
      <c r="A4" s="1" t="s">
        <v>50</v>
      </c>
      <c r="B4" s="2">
        <v>650000</v>
      </c>
    </row>
    <row r="5" spans="1:2" x14ac:dyDescent="0.35">
      <c r="A5" s="1" t="s">
        <v>51</v>
      </c>
      <c r="B5" s="2">
        <v>0</v>
      </c>
    </row>
    <row r="6" spans="1:2" x14ac:dyDescent="0.35">
      <c r="A6" s="1" t="s">
        <v>52</v>
      </c>
      <c r="B6" s="2">
        <v>300000</v>
      </c>
    </row>
    <row r="7" spans="1:2" x14ac:dyDescent="0.35">
      <c r="A7" s="1" t="s">
        <v>53</v>
      </c>
      <c r="B7" s="2">
        <v>0</v>
      </c>
    </row>
    <row r="8" spans="1:2" x14ac:dyDescent="0.35">
      <c r="A8" s="1" t="s">
        <v>33</v>
      </c>
      <c r="B8" s="2">
        <v>700000</v>
      </c>
    </row>
    <row r="9" spans="1:2" x14ac:dyDescent="0.35">
      <c r="A9" s="1" t="s">
        <v>54</v>
      </c>
      <c r="B9" s="2">
        <v>450000</v>
      </c>
    </row>
    <row r="10" spans="1:2" x14ac:dyDescent="0.35">
      <c r="A10" s="1" t="s">
        <v>32</v>
      </c>
      <c r="B10" s="2">
        <v>0</v>
      </c>
    </row>
    <row r="11" spans="1:2" x14ac:dyDescent="0.35">
      <c r="A11" s="1" t="s">
        <v>55</v>
      </c>
      <c r="B11" s="2">
        <f>B3-SUM(B4:B10)</f>
        <v>-2100000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Catatan Bulanan</vt:lpstr>
      <vt:lpstr>Transaksi</vt:lpstr>
      <vt:lpstr>Pembayaran Utang</vt:lpstr>
      <vt:lpstr>Gaji Pertama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 5cg4373lxq</cp:lastModifiedBy>
  <dcterms:created xsi:type="dcterms:W3CDTF">2026-08-28T04:02:23Z</dcterms:created>
  <dcterms:modified xsi:type="dcterms:W3CDTF">2026-08-28T06:49:52Z</dcterms:modified>
</cp:coreProperties>
</file>